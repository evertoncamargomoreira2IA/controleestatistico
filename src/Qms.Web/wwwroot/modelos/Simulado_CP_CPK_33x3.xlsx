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82f378da4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turas" sheetId="1" r:id="R26edb4f47cb7473a"/>
    <x:sheet xmlns:r="http://schemas.openxmlformats.org/officeDocument/2006/relationships" name="Conferencia" sheetId="2" r:id="R67545053f809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4">
    <x:font>
      <x:sz val="11"/>
      <x:name val="Carlito"/>
    </x:font>
    <x:font>
      <x:sz val="11"/>
      <x:color rgb="FF203446"/>
      <x:name val="Arial"/>
    </x:font>
    <x:font>
      <x:b/>
      <x:sz val="11"/>
      <x:color rgb="FFFFFFFF"/>
      <x:name val="Arial"/>
    </x:font>
    <x:font>
      <x:b/>
      <x:sz val="15"/>
      <x:color rgb="FF006BB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6BB6"/>
      </x:patternFill>
    </x:fill>
    <x:fill>
      <x:patternFill patternType="solid">
        <x:fgColor rgb="FFFFF2CC"/>
      </x:patternFill>
    </x:fill>
    <x:fill>
      <x:patternFill patternType="solid">
        <x:fgColor rgb="FFE3EE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51f587a554e7d" /><Relationship Type="http://schemas.openxmlformats.org/officeDocument/2006/relationships/theme" Target="/xl/theme/theme1.xml" Id="Rf4a0e819dc1a4bdf" /><Relationship Type="http://schemas.openxmlformats.org/officeDocument/2006/relationships/sharedStrings" Target="/xl/sharedStrings.xml" Id="R62f3d149b3df4b19" /><Relationship Type="http://schemas.openxmlformats.org/officeDocument/2006/relationships/worksheet" Target="/xl/worksheets/sheet1.xml" Id="R26edb4f47cb7473a" /><Relationship Type="http://schemas.openxmlformats.org/officeDocument/2006/relationships/worksheet" Target="/xl/worksheets/sheet2.xml" Id="R67545053f8094d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3" customHeight="1">
      <x:c r="A1" s="3" t="str">
        <x:v>amostra</x:v>
      </x:c>
      <x:c r="B1" s="3" t="str">
        <x:v>leitura1</x:v>
      </x:c>
      <x:c r="C1" s="3" t="str">
        <x:v>leitura2</x:v>
      </x:c>
      <x:c r="D1" s="3" t="str">
        <x:v>leitura3</x:v>
      </x:c>
    </x:row>
    <x:row r="2" ht="23" customHeight="1">
      <x:c r="A2" s="1" t="n">
        <x:v>1</x:v>
      </x:c>
      <x:c r="B2" s="5" t="n">
        <x:v>9.93</x:v>
      </x:c>
      <x:c r="C2" s="5" t="n">
        <x:v>9.97</x:v>
      </x:c>
      <x:c r="D2" s="5" t="n">
        <x:v>10.01</x:v>
      </x:c>
    </x:row>
    <x:row r="3" ht="23" customHeight="1">
      <x:c r="A3" s="1" t="n">
        <x:v>2</x:v>
      </x:c>
      <x:c r="B3" s="5" t="n">
        <x:v>9.99</x:v>
      </x:c>
      <x:c r="C3" s="5" t="n">
        <x:v>10.03</x:v>
      </x:c>
      <x:c r="D3" s="5" t="n">
        <x:v>10.07</x:v>
      </x:c>
    </x:row>
    <x:row r="4" ht="23" customHeight="1">
      <x:c r="A4" s="1" t="n">
        <x:v>3</x:v>
      </x:c>
      <x:c r="B4" s="5" t="n">
        <x:v>9.93</x:v>
      </x:c>
      <x:c r="C4" s="5" t="n">
        <x:v>9.97</x:v>
      </x:c>
      <x:c r="D4" s="5" t="n">
        <x:v>10.01</x:v>
      </x:c>
    </x:row>
    <x:row r="5" ht="23" customHeight="1">
      <x:c r="A5" s="1" t="n">
        <x:v>4</x:v>
      </x:c>
      <x:c r="B5" s="5" t="n">
        <x:v>9.99</x:v>
      </x:c>
      <x:c r="C5" s="5" t="n">
        <x:v>10.03</x:v>
      </x:c>
      <x:c r="D5" s="5" t="n">
        <x:v>10.07</x:v>
      </x:c>
    </x:row>
    <x:row r="6" ht="23" customHeight="1">
      <x:c r="A6" s="1" t="n">
        <x:v>5</x:v>
      </x:c>
      <x:c r="B6" s="5" t="n">
        <x:v>9.93</x:v>
      </x:c>
      <x:c r="C6" s="5" t="n">
        <x:v>9.97</x:v>
      </x:c>
      <x:c r="D6" s="5" t="n">
        <x:v>10.01</x:v>
      </x:c>
    </x:row>
    <x:row r="7" ht="23" customHeight="1">
      <x:c r="A7" s="1" t="n">
        <x:v>6</x:v>
      </x:c>
      <x:c r="B7" s="5" t="n">
        <x:v>9.99</x:v>
      </x:c>
      <x:c r="C7" s="5" t="n">
        <x:v>10.03</x:v>
      </x:c>
      <x:c r="D7" s="5" t="n">
        <x:v>10.07</x:v>
      </x:c>
    </x:row>
    <x:row r="8" ht="23" customHeight="1">
      <x:c r="A8" s="1" t="n">
        <x:v>7</x:v>
      </x:c>
      <x:c r="B8" s="5" t="n">
        <x:v>9.93</x:v>
      </x:c>
      <x:c r="C8" s="5" t="n">
        <x:v>9.97</x:v>
      </x:c>
      <x:c r="D8" s="5" t="n">
        <x:v>10.01</x:v>
      </x:c>
    </x:row>
    <x:row r="9" ht="23" customHeight="1">
      <x:c r="A9" s="1" t="n">
        <x:v>8</x:v>
      </x:c>
      <x:c r="B9" s="5" t="n">
        <x:v>9.99</x:v>
      </x:c>
      <x:c r="C9" s="5" t="n">
        <x:v>10.03</x:v>
      </x:c>
      <x:c r="D9" s="5" t="n">
        <x:v>10.07</x:v>
      </x:c>
    </x:row>
    <x:row r="10" ht="23" customHeight="1">
      <x:c r="A10" s="1" t="n">
        <x:v>9</x:v>
      </x:c>
      <x:c r="B10" s="5" t="n">
        <x:v>9.93</x:v>
      </x:c>
      <x:c r="C10" s="5" t="n">
        <x:v>9.97</x:v>
      </x:c>
      <x:c r="D10" s="5" t="n">
        <x:v>10.01</x:v>
      </x:c>
    </x:row>
    <x:row r="11" ht="23" customHeight="1">
      <x:c r="A11" s="1" t="n">
        <x:v>10</x:v>
      </x:c>
      <x:c r="B11" s="5" t="n">
        <x:v>9.99</x:v>
      </x:c>
      <x:c r="C11" s="5" t="n">
        <x:v>10.03</x:v>
      </x:c>
      <x:c r="D11" s="5" t="n">
        <x:v>10.07</x:v>
      </x:c>
    </x:row>
    <x:row r="12" ht="23" customHeight="1">
      <x:c r="A12" s="1" t="n">
        <x:v>11</x:v>
      </x:c>
      <x:c r="B12" s="5" t="n">
        <x:v>9.93</x:v>
      </x:c>
      <x:c r="C12" s="5" t="n">
        <x:v>9.97</x:v>
      </x:c>
      <x:c r="D12" s="5" t="n">
        <x:v>10.01</x:v>
      </x:c>
    </x:row>
    <x:row r="13" ht="23" customHeight="1">
      <x:c r="A13" s="1" t="n">
        <x:v>12</x:v>
      </x:c>
      <x:c r="B13" s="5" t="n">
        <x:v>9.99</x:v>
      </x:c>
      <x:c r="C13" s="5" t="n">
        <x:v>10.03</x:v>
      </x:c>
      <x:c r="D13" s="5" t="n">
        <x:v>10.07</x:v>
      </x:c>
    </x:row>
    <x:row r="14" ht="23" customHeight="1">
      <x:c r="A14" s="1" t="n">
        <x:v>13</x:v>
      </x:c>
      <x:c r="B14" s="5" t="n">
        <x:v>9.93</x:v>
      </x:c>
      <x:c r="C14" s="5" t="n">
        <x:v>9.97</x:v>
      </x:c>
      <x:c r="D14" s="5" t="n">
        <x:v>10.01</x:v>
      </x:c>
    </x:row>
    <x:row r="15" ht="23" customHeight="1">
      <x:c r="A15" s="1" t="n">
        <x:v>14</x:v>
      </x:c>
      <x:c r="B15" s="5" t="n">
        <x:v>9.99</x:v>
      </x:c>
      <x:c r="C15" s="5" t="n">
        <x:v>10.03</x:v>
      </x:c>
      <x:c r="D15" s="5" t="n">
        <x:v>10.07</x:v>
      </x:c>
    </x:row>
    <x:row r="16" ht="23" customHeight="1">
      <x:c r="A16" s="1" t="n">
        <x:v>15</x:v>
      </x:c>
      <x:c r="B16" s="5" t="n">
        <x:v>9.93</x:v>
      </x:c>
      <x:c r="C16" s="5" t="n">
        <x:v>9.97</x:v>
      </x:c>
      <x:c r="D16" s="5" t="n">
        <x:v>10.01</x:v>
      </x:c>
    </x:row>
    <x:row r="17" ht="23" customHeight="1">
      <x:c r="A17" s="1" t="n">
        <x:v>16</x:v>
      </x:c>
      <x:c r="B17" s="5" t="n">
        <x:v>9.99</x:v>
      </x:c>
      <x:c r="C17" s="5" t="n">
        <x:v>10.03</x:v>
      </x:c>
      <x:c r="D17" s="5" t="n">
        <x:v>10.07</x:v>
      </x:c>
    </x:row>
    <x:row r="18" ht="23" customHeight="1">
      <x:c r="A18" s="1" t="n">
        <x:v>17</x:v>
      </x:c>
      <x:c r="B18" s="5" t="n">
        <x:v>9.93</x:v>
      </x:c>
      <x:c r="C18" s="5" t="n">
        <x:v>9.97</x:v>
      </x:c>
      <x:c r="D18" s="5" t="n">
        <x:v>10.01</x:v>
      </x:c>
    </x:row>
    <x:row r="19" ht="23" customHeight="1">
      <x:c r="A19" s="1" t="n">
        <x:v>18</x:v>
      </x:c>
      <x:c r="B19" s="5" t="n">
        <x:v>9.99</x:v>
      </x:c>
      <x:c r="C19" s="5" t="n">
        <x:v>10.03</x:v>
      </x:c>
      <x:c r="D19" s="5" t="n">
        <x:v>10.07</x:v>
      </x:c>
    </x:row>
    <x:row r="20" ht="23" customHeight="1">
      <x:c r="A20" s="1" t="n">
        <x:v>19</x:v>
      </x:c>
      <x:c r="B20" s="5" t="n">
        <x:v>9.93</x:v>
      </x:c>
      <x:c r="C20" s="5" t="n">
        <x:v>9.97</x:v>
      </x:c>
      <x:c r="D20" s="5" t="n">
        <x:v>10.01</x:v>
      </x:c>
    </x:row>
    <x:row r="21" ht="23" customHeight="1">
      <x:c r="A21" s="1" t="n">
        <x:v>20</x:v>
      </x:c>
      <x:c r="B21" s="5" t="n">
        <x:v>9.99</x:v>
      </x:c>
      <x:c r="C21" s="5" t="n">
        <x:v>10.03</x:v>
      </x:c>
      <x:c r="D21" s="5" t="n">
        <x:v>10.07</x:v>
      </x:c>
    </x:row>
    <x:row r="22" ht="23" customHeight="1">
      <x:c r="A22" s="1" t="n">
        <x:v>21</x:v>
      </x:c>
      <x:c r="B22" s="5" t="n">
        <x:v>9.93</x:v>
      </x:c>
      <x:c r="C22" s="5" t="n">
        <x:v>9.97</x:v>
      </x:c>
      <x:c r="D22" s="5" t="n">
        <x:v>10.01</x:v>
      </x:c>
    </x:row>
    <x:row r="23" ht="23" customHeight="1">
      <x:c r="A23" s="1" t="n">
        <x:v>22</x:v>
      </x:c>
      <x:c r="B23" s="5" t="n">
        <x:v>9.99</x:v>
      </x:c>
      <x:c r="C23" s="5" t="n">
        <x:v>10.03</x:v>
      </x:c>
      <x:c r="D23" s="5" t="n">
        <x:v>10.07</x:v>
      </x:c>
    </x:row>
    <x:row r="24" ht="23" customHeight="1">
      <x:c r="A24" s="1" t="n">
        <x:v>23</x:v>
      </x:c>
      <x:c r="B24" s="5" t="n">
        <x:v>9.93</x:v>
      </x:c>
      <x:c r="C24" s="5" t="n">
        <x:v>9.97</x:v>
      </x:c>
      <x:c r="D24" s="5" t="n">
        <x:v>10.01</x:v>
      </x:c>
    </x:row>
    <x:row r="25" ht="23" customHeight="1">
      <x:c r="A25" s="1" t="n">
        <x:v>24</x:v>
      </x:c>
      <x:c r="B25" s="5" t="n">
        <x:v>9.99</x:v>
      </x:c>
      <x:c r="C25" s="5" t="n">
        <x:v>10.03</x:v>
      </x:c>
      <x:c r="D25" s="5" t="n">
        <x:v>10.07</x:v>
      </x:c>
    </x:row>
    <x:row r="26" ht="23" customHeight="1">
      <x:c r="A26" s="1" t="n">
        <x:v>25</x:v>
      </x:c>
      <x:c r="B26" s="5" t="n">
        <x:v>9.93</x:v>
      </x:c>
      <x:c r="C26" s="5" t="n">
        <x:v>9.97</x:v>
      </x:c>
      <x:c r="D26" s="5" t="n">
        <x:v>10.01</x:v>
      </x:c>
    </x:row>
    <x:row r="27" ht="23" customHeight="1">
      <x:c r="A27" s="1" t="n">
        <x:v>26</x:v>
      </x:c>
      <x:c r="B27" s="5" t="n">
        <x:v>9.99</x:v>
      </x:c>
      <x:c r="C27" s="5" t="n">
        <x:v>10.03</x:v>
      </x:c>
      <x:c r="D27" s="5" t="n">
        <x:v>10.07</x:v>
      </x:c>
    </x:row>
    <x:row r="28" ht="23" customHeight="1">
      <x:c r="A28" s="1" t="n">
        <x:v>27</x:v>
      </x:c>
      <x:c r="B28" s="5" t="n">
        <x:v>9.93</x:v>
      </x:c>
      <x:c r="C28" s="5" t="n">
        <x:v>9.97</x:v>
      </x:c>
      <x:c r="D28" s="5" t="n">
        <x:v>10.01</x:v>
      </x:c>
    </x:row>
    <x:row r="29" ht="23" customHeight="1">
      <x:c r="A29" s="1" t="n">
        <x:v>28</x:v>
      </x:c>
      <x:c r="B29" s="5" t="n">
        <x:v>9.99</x:v>
      </x:c>
      <x:c r="C29" s="5" t="n">
        <x:v>10.03</x:v>
      </x:c>
      <x:c r="D29" s="5" t="n">
        <x:v>10.07</x:v>
      </x:c>
    </x:row>
    <x:row r="30" ht="23" customHeight="1">
      <x:c r="A30" s="1" t="n">
        <x:v>29</x:v>
      </x:c>
      <x:c r="B30" s="5" t="n">
        <x:v>9.93</x:v>
      </x:c>
      <x:c r="C30" s="5" t="n">
        <x:v>9.97</x:v>
      </x:c>
      <x:c r="D30" s="5" t="n">
        <x:v>10.01</x:v>
      </x:c>
    </x:row>
    <x:row r="31" ht="23" customHeight="1">
      <x:c r="A31" s="1" t="n">
        <x:v>30</x:v>
      </x:c>
      <x:c r="B31" s="5" t="n">
        <x:v>9.99</x:v>
      </x:c>
      <x:c r="C31" s="5" t="n">
        <x:v>10.03</x:v>
      </x:c>
      <x:c r="D31" s="5" t="n">
        <x:v>10.07</x:v>
      </x:c>
    </x:row>
    <x:row r="32" ht="23" customHeight="1">
      <x:c r="A32" s="1" t="n">
        <x:v>31</x:v>
      </x:c>
      <x:c r="B32" s="5" t="n">
        <x:v>9.93</x:v>
      </x:c>
      <x:c r="C32" s="5" t="n">
        <x:v>9.97</x:v>
      </x:c>
      <x:c r="D32" s="5" t="n">
        <x:v>10.01</x:v>
      </x:c>
    </x:row>
    <x:row r="33" ht="23" customHeight="1">
      <x:c r="A33" s="1" t="n">
        <x:v>32</x:v>
      </x:c>
      <x:c r="B33" s="5" t="n">
        <x:v>9.99</x:v>
      </x:c>
      <x:c r="C33" s="5" t="n">
        <x:v>10.03</x:v>
      </x:c>
      <x:c r="D33" s="5" t="n">
        <x:v>10.07</x:v>
      </x:c>
    </x:row>
    <x:row r="34" ht="23" customHeight="1">
      <x:c r="A34" s="1" t="n">
        <x:v>33</x:v>
      </x:c>
      <x:c r="B34" s="5" t="n">
        <x:v>9.93</x:v>
      </x:c>
      <x:c r="C34" s="5" t="n">
        <x:v>9.97</x:v>
      </x:c>
      <x:c r="D34" s="5" t="n">
        <x:v>10.01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6" t="str">
        <x:v>SIMULADO para teste de Cp/Cpk</x:v>
      </x:c>
      <x:c r="B2" s="1"/>
      <x:c r="C2" s="1"/>
      <x:c r="D2" s="1"/>
      <x:c r="E2" s="1"/>
      <x:c r="F2" s="1"/>
      <x:c r="G2" s="1"/>
      <x:c r="H2" s="1"/>
    </x:row>
    <x:row r="3" ht="23" customHeight="1">
      <x:c r="A3" s="1"/>
      <x:c r="B3" s="1"/>
      <x:c r="C3" s="1"/>
      <x:c r="D3" s="1"/>
      <x:c r="E3" s="1"/>
      <x:c r="F3" s="1"/>
      <x:c r="G3" s="1"/>
      <x:c r="H3" s="1"/>
    </x:row>
    <x:row r="4" ht="23" customHeight="1">
      <x:c r="A4" s="1" t="str">
        <x:v>Nominal (mm)</x:v>
      </x:c>
      <x:c r="B4" s="1" t="n">
        <x:v>10</x:v>
      </x:c>
      <x:c r="C4" s="1"/>
      <x:c r="D4" s="1"/>
      <x:c r="E4" s="1"/>
      <x:c r="F4" s="1" t="str">
        <x:v>Média das 33 médias</x:v>
      </x:c>
      <x:c r="G4" s="8" t="n">
        <x:f>AVERAGE(B9:B41)</x:f>
        <x:v>9.99909090909091</x:v>
      </x:c>
      <x:c r="H4" s="1"/>
    </x:row>
    <x:row r="5" ht="23" customHeight="1">
      <x:c r="A5" s="1" t="str">
        <x:v>LSL (mm)</x:v>
      </x:c>
      <x:c r="B5" s="1" t="n">
        <x:v>9.5</x:v>
      </x:c>
      <x:c r="C5" s="1"/>
      <x:c r="D5" s="1"/>
      <x:c r="E5" s="1"/>
      <x:c r="F5" s="1" t="str">
        <x:v>MR médio (32 pares)</x:v>
      </x:c>
      <x:c r="G5" s="8" t="n">
        <x:f>AVERAGE(D10:D41)</x:f>
        <x:v>0.0600000000000005</x:v>
      </x:c>
      <x:c r="H5" s="1"/>
    </x:row>
    <x:row r="6" ht="23" customHeight="1">
      <x:c r="A6" s="1" t="str">
        <x:v>USL (mm)</x:v>
      </x:c>
      <x:c r="B6" s="1" t="n">
        <x:v>10.5</x:v>
      </x:c>
      <x:c r="C6" s="1"/>
      <x:c r="D6" s="1"/>
      <x:c r="E6" s="1"/>
      <x:c r="F6" s="1" t="str">
        <x:v>Sigma local MR/1,128</x:v>
      </x:c>
      <x:c r="G6" s="8" t="n">
        <x:f>G5/1.128</x:f>
        <x:v>0.05319148936170257</x:v>
      </x:c>
      <x:c r="H6" s="1"/>
    </x:row>
    <x:row r="7" ht="23" customHeight="1">
      <x:c r="A7" s="1"/>
      <x:c r="B7" s="1"/>
      <x:c r="C7" s="1"/>
      <x:c r="D7" s="1"/>
      <x:c r="E7" s="1"/>
      <x:c r="F7" s="1" t="str">
        <x:v>Cp das médias</x:v>
      </x:c>
      <x:c r="G7" s="8" t="n">
        <x:f>($B$6-$B$5)/(6*G6)</x:f>
        <x:v>3.133333333333307</x:v>
      </x:c>
      <x:c r="H7" s="1"/>
    </x:row>
    <x:row r="8" ht="23" customHeight="1">
      <x:c r="A8" s="7" t="str">
        <x:v>Amostra</x:v>
      </x:c>
      <x:c r="B8" s="7" t="str">
        <x:v>Média do trio</x:v>
      </x:c>
      <x:c r="C8" s="7" t="str">
        <x:v>Amplitude do trio</x:v>
      </x:c>
      <x:c r="D8" s="7" t="str">
        <x:v>MR das médias</x:v>
      </x:c>
      <x:c r="E8" s="1"/>
      <x:c r="F8" s="1" t="str">
        <x:v>Cpk das médias</x:v>
      </x:c>
      <x:c r="G8" s="8" t="n">
        <x:f>MIN(($B$6-G4)/(3*G6),(G4-$B$5)/(3*G6))</x:f>
        <x:v>3.1276363636363427</x:v>
      </x:c>
      <x:c r="H8" s="1"/>
    </x:row>
    <x:row r="9" ht="23" customHeight="1">
      <x:c r="A9" s="1" t="n">
        <x:f>Leituras!A2</x:f>
        <x:v>1</x:v>
      </x:c>
      <x:c r="B9" s="8" t="n">
        <x:f>AVERAGE(Leituras!B2:D2)</x:f>
        <x:v>9.969999999999999</x:v>
      </x:c>
      <x:c r="C9" s="8" t="n">
        <x:f>MAX(Leituras!B2:D2)-MIN(Leituras!B2:D2)</x:f>
        <x:v>0.08000000000000007</x:v>
      </x:c>
      <x:c r="D9" s="8" t="str">
        <x:f>""</x:f>
      </x:c>
      <x:c r="E9" s="1"/>
      <x:c r="F9" s="1"/>
      <x:c r="G9" s="1"/>
      <x:c r="H9" s="1"/>
    </x:row>
    <x:row r="10" ht="23" customHeight="1">
      <x:c r="A10" s="1" t="n">
        <x:f>Leituras!A3</x:f>
        <x:v>2</x:v>
      </x:c>
      <x:c r="B10" s="8" t="n">
        <x:f>AVERAGE(Leituras!B3:D3)</x:f>
        <x:v>10.03</x:v>
      </x:c>
      <x:c r="C10" s="8" t="n">
        <x:f>MAX(Leituras!B3:D3)-MIN(Leituras!B3:D3)</x:f>
        <x:v>0.08000000000000007</x:v>
      </x:c>
      <x:c r="D10" s="8" t="n">
        <x:f>ABS(B10-B9)</x:f>
        <x:v>0.0600000000000005</x:v>
      </x:c>
      <x:c r="E10" s="1"/>
      <x:c r="F10" s="1"/>
      <x:c r="G10" s="1"/>
      <x:c r="H10" s="1"/>
    </x:row>
    <x:row r="11" ht="23" customHeight="1">
      <x:c r="A11" s="1" t="n">
        <x:f>Leituras!A4</x:f>
        <x:v>3</x:v>
      </x:c>
      <x:c r="B11" s="8" t="n">
        <x:f>AVERAGE(Leituras!B4:D4)</x:f>
        <x:v>9.969999999999999</x:v>
      </x:c>
      <x:c r="C11" s="8" t="n">
        <x:f>MAX(Leituras!B4:D4)-MIN(Leituras!B4:D4)</x:f>
        <x:v>0.08000000000000007</x:v>
      </x:c>
      <x:c r="D11" s="8" t="n">
        <x:f>ABS(B11-B10)</x:f>
        <x:v>0.0600000000000005</x:v>
      </x:c>
      <x:c r="E11" s="1"/>
      <x:c r="F11" s="1" t="str">
        <x:v>Dados fictícios; não usar como medição real.</x:v>
      </x:c>
      <x:c r="G11" s="1"/>
      <x:c r="H11" s="1"/>
    </x:row>
    <x:row r="12" ht="23" customHeight="1">
      <x:c r="A12" s="1" t="n">
        <x:f>Leituras!A5</x:f>
        <x:v>4</x:v>
      </x:c>
      <x:c r="B12" s="8" t="n">
        <x:f>AVERAGE(Leituras!B5:D5)</x:f>
        <x:v>10.03</x:v>
      </x:c>
      <x:c r="C12" s="8" t="n">
        <x:f>MAX(Leituras!B5:D5)-MIN(Leituras!B5:D5)</x:f>
        <x:v>0.08000000000000007</x:v>
      </x:c>
      <x:c r="D12" s="8" t="n">
        <x:f>ABS(B12-B11)</x:f>
        <x:v>0.0600000000000005</x:v>
      </x:c>
      <x:c r="E12" s="1"/>
      <x:c r="F12" s="1" t="str">
        <x:v>Selecione Altura / TL-001 no sistema.</x:v>
      </x:c>
      <x:c r="G12" s="1"/>
      <x:c r="H12" s="1"/>
    </x:row>
    <x:row r="13" ht="23" customHeight="1">
      <x:c r="A13" s="1" t="n">
        <x:f>Leituras!A6</x:f>
        <x:v>5</x:v>
      </x:c>
      <x:c r="B13" s="8" t="n">
        <x:f>AVERAGE(Leituras!B6:D6)</x:f>
        <x:v>9.969999999999999</x:v>
      </x:c>
      <x:c r="C13" s="8" t="n">
        <x:f>MAX(Leituras!B6:D6)-MIN(Leituras!B6:D6)</x:f>
        <x:v>0.08000000000000007</x:v>
      </x:c>
      <x:c r="D13" s="8" t="n">
        <x:f>ABS(B13-B12)</x:f>
        <x:v>0.0600000000000005</x:v>
      </x:c>
      <x:c r="E13" s="1"/>
      <x:c r="F13" s="1" t="str">
        <x:v>Instrumento INS-001, turno T1.</x:v>
      </x:c>
      <x:c r="G13" s="1"/>
      <x:c r="H13" s="1"/>
    </x:row>
    <x:row r="14" ht="23" customHeight="1">
      <x:c r="A14" s="1" t="n">
        <x:f>Leituras!A7</x:f>
        <x:v>6</x:v>
      </x:c>
      <x:c r="B14" s="8" t="n">
        <x:f>AVERAGE(Leituras!B7:D7)</x:f>
        <x:v>10.03</x:v>
      </x:c>
      <x:c r="C14" s="8" t="n">
        <x:f>MAX(Leituras!B7:D7)-MIN(Leituras!B7:D7)</x:f>
        <x:v>0.08000000000000007</x:v>
      </x:c>
      <x:c r="D14" s="8" t="n">
        <x:f>ABS(B14-B13)</x:f>
        <x:v>0.0600000000000005</x:v>
      </x:c>
      <x:c r="E14" s="1"/>
      <x:c r="F14" s="1" t="str">
        <x:v>Informe data local válida e lote SIMULADO.</x:v>
      </x:c>
      <x:c r="G14" s="1"/>
      <x:c r="H14" s="1"/>
    </x:row>
    <x:row r="15" ht="23" customHeight="1">
      <x:c r="A15" s="1" t="n">
        <x:f>Leituras!A8</x:f>
        <x:v>7</x:v>
      </x:c>
      <x:c r="B15" s="8" t="n">
        <x:f>AVERAGE(Leituras!B8:D8)</x:f>
        <x:v>9.969999999999999</x:v>
      </x:c>
      <x:c r="C15" s="8" t="n">
        <x:f>MAX(Leituras!B8:D8)-MIN(Leituras!B8:D8)</x:f>
        <x:v>0.08000000000000007</x:v>
      </x:c>
      <x:c r="D15" s="8" t="n">
        <x:f>ABS(B15-B14)</x:f>
        <x:v>0.0600000000000005</x:v>
      </x:c>
      <x:c r="E15" s="1"/>
      <x:c r="F15" s="1" t="str">
        <x:v>Envie o arquivo na coleta correspondente.</x:v>
      </x:c>
      <x:c r="G15" s="1"/>
      <x:c r="H15" s="1"/>
    </x:row>
    <x:row r="16" ht="23" customHeight="1">
      <x:c r="A16" s="1" t="n">
        <x:f>Leituras!A9</x:f>
        <x:v>8</x:v>
      </x:c>
      <x:c r="B16" s="8" t="n">
        <x:f>AVERAGE(Leituras!B9:D9)</x:f>
        <x:v>10.03</x:v>
      </x:c>
      <x:c r="C16" s="8" t="n">
        <x:f>MAX(Leituras!B9:D9)-MIN(Leituras!B9:D9)</x:f>
        <x:v>0.08000000000000007</x:v>
      </x:c>
      <x:c r="D16" s="8" t="n">
        <x:f>ABS(B16-B15)</x:f>
        <x:v>0.0600000000000005</x:v>
      </x:c>
      <x:c r="E16" s="1"/>
      <x:c r="F16" s="1" t="str">
        <x:v>A primeira aba contém só as leituras.</x:v>
      </x:c>
      <x:c r="G16" s="1"/>
      <x:c r="H16" s="1"/>
    </x:row>
    <x:row r="17" ht="23" customHeight="1">
      <x:c r="A17" s="1" t="n">
        <x:f>Leituras!A10</x:f>
        <x:v>9</x:v>
      </x:c>
      <x:c r="B17" s="8" t="n">
        <x:f>AVERAGE(Leituras!B10:D10)</x:f>
        <x:v>9.969999999999999</x:v>
      </x:c>
      <x:c r="C17" s="8" t="n">
        <x:f>MAX(Leituras!B10:D10)-MIN(Leituras!B10:D10)</x:f>
        <x:v>0.08000000000000007</x:v>
      </x:c>
      <x:c r="D17" s="8" t="n">
        <x:f>ABS(B17-B16)</x:f>
        <x:v>0.0600000000000005</x:v>
      </x:c>
      <x:c r="E17" s="1"/>
      <x:c r="F17" s="1"/>
      <x:c r="G17" s="1"/>
      <x:c r="H17" s="1"/>
    </x:row>
    <x:row r="18" ht="23" customHeight="1">
      <x:c r="A18" s="1" t="n">
        <x:f>Leituras!A11</x:f>
        <x:v>10</x:v>
      </x:c>
      <x:c r="B18" s="8" t="n">
        <x:f>AVERAGE(Leituras!B11:D11)</x:f>
        <x:v>10.03</x:v>
      </x:c>
      <x:c r="C18" s="8" t="n">
        <x:f>MAX(Leituras!B11:D11)-MIN(Leituras!B11:D11)</x:f>
        <x:v>0.08000000000000007</x:v>
      </x:c>
      <x:c r="D18" s="8" t="n">
        <x:f>ABS(B18-B17)</x:f>
        <x:v>0.0600000000000005</x:v>
      </x:c>
      <x:c r="E18" s="1"/>
      <x:c r="F18" s="1" t="str">
        <x:v>Método e interpretação: docs/metodo-cp-cpk.md</x:v>
      </x:c>
      <x:c r="G18" s="1"/>
      <x:c r="H18" s="1"/>
    </x:row>
    <x:row r="19" ht="23" customHeight="1">
      <x:c r="A19" s="1" t="n">
        <x:f>Leituras!A12</x:f>
        <x:v>11</x:v>
      </x:c>
      <x:c r="B19" s="8" t="n">
        <x:f>AVERAGE(Leituras!B12:D12)</x:f>
        <x:v>9.969999999999999</x:v>
      </x:c>
      <x:c r="C19" s="8" t="n">
        <x:f>MAX(Leituras!B12:D12)-MIN(Leituras!B12:D12)</x:f>
        <x:v>0.08000000000000007</x:v>
      </x:c>
      <x:c r="D19" s="8" t="n">
        <x:f>ABS(B19-B18)</x:f>
        <x:v>0.0600000000000005</x:v>
      </x:c>
      <x:c r="E19" s="1"/>
      <x:c r="F19" s="1" t="str">
        <x:v>NIST: itl.nist.gov/div898/handbook/pmc/section3/pmc322.htm</x:v>
      </x:c>
      <x:c r="G19" s="1"/>
      <x:c r="H19" s="1"/>
    </x:row>
    <x:row r="20" ht="23" customHeight="1">
      <x:c r="A20" s="1" t="n">
        <x:f>Leituras!A13</x:f>
        <x:v>12</x:v>
      </x:c>
      <x:c r="B20" s="8" t="n">
        <x:f>AVERAGE(Leituras!B13:D13)</x:f>
        <x:v>10.03</x:v>
      </x:c>
      <x:c r="C20" s="8" t="n">
        <x:f>MAX(Leituras!B13:D13)-MIN(Leituras!B13:D13)</x:f>
        <x:v>0.08000000000000007</x:v>
      </x:c>
      <x:c r="D20" s="8" t="n">
        <x:f>ABS(B20-B19)</x:f>
        <x:v>0.0600000000000005</x:v>
      </x:c>
      <x:c r="E20" s="1"/>
      <x:c r="F20" s="1"/>
      <x:c r="G20" s="1"/>
      <x:c r="H20" s="1"/>
    </x:row>
    <x:row r="21" ht="23" customHeight="1">
      <x:c r="A21" s="1" t="n">
        <x:f>Leituras!A14</x:f>
        <x:v>13</x:v>
      </x:c>
      <x:c r="B21" s="8" t="n">
        <x:f>AVERAGE(Leituras!B14:D14)</x:f>
        <x:v>9.969999999999999</x:v>
      </x:c>
      <x:c r="C21" s="8" t="n">
        <x:f>MAX(Leituras!B14:D14)-MIN(Leituras!B14:D14)</x:f>
        <x:v>0.08000000000000007</x:v>
      </x:c>
      <x:c r="D21" s="8" t="n">
        <x:f>ABS(B21-B20)</x:f>
        <x:v>0.0600000000000005</x:v>
      </x:c>
      <x:c r="E21" s="1"/>
      <x:c r="F21" s="1"/>
      <x:c r="G21" s="1"/>
      <x:c r="H21" s="1"/>
    </x:row>
    <x:row r="22" ht="23" customHeight="1">
      <x:c r="A22" s="1" t="n">
        <x:f>Leituras!A15</x:f>
        <x:v>14</x:v>
      </x:c>
      <x:c r="B22" s="8" t="n">
        <x:f>AVERAGE(Leituras!B15:D15)</x:f>
        <x:v>10.03</x:v>
      </x:c>
      <x:c r="C22" s="8" t="n">
        <x:f>MAX(Leituras!B15:D15)-MIN(Leituras!B15:D15)</x:f>
        <x:v>0.08000000000000007</x:v>
      </x:c>
      <x:c r="D22" s="8" t="n">
        <x:f>ABS(B22-B21)</x:f>
        <x:v>0.0600000000000005</x:v>
      </x:c>
      <x:c r="E22" s="1"/>
      <x:c r="F22" s="1"/>
      <x:c r="G22" s="1"/>
      <x:c r="H22" s="1"/>
    </x:row>
    <x:row r="23" ht="23" customHeight="1">
      <x:c r="A23" s="1" t="n">
        <x:f>Leituras!A16</x:f>
        <x:v>15</x:v>
      </x:c>
      <x:c r="B23" s="8" t="n">
        <x:f>AVERAGE(Leituras!B16:D16)</x:f>
        <x:v>9.969999999999999</x:v>
      </x:c>
      <x:c r="C23" s="8" t="n">
        <x:f>MAX(Leituras!B16:D16)-MIN(Leituras!B16:D16)</x:f>
        <x:v>0.08000000000000007</x:v>
      </x:c>
      <x:c r="D23" s="8" t="n">
        <x:f>ABS(B23-B22)</x:f>
        <x:v>0.0600000000000005</x:v>
      </x:c>
      <x:c r="E23" s="1"/>
      <x:c r="F23" s="1"/>
      <x:c r="G23" s="1"/>
      <x:c r="H23" s="1"/>
    </x:row>
    <x:row r="24" ht="23" customHeight="1">
      <x:c r="A24" s="1" t="n">
        <x:f>Leituras!A17</x:f>
        <x:v>16</x:v>
      </x:c>
      <x:c r="B24" s="8" t="n">
        <x:f>AVERAGE(Leituras!B17:D17)</x:f>
        <x:v>10.03</x:v>
      </x:c>
      <x:c r="C24" s="8" t="n">
        <x:f>MAX(Leituras!B17:D17)-MIN(Leituras!B17:D17)</x:f>
        <x:v>0.08000000000000007</x:v>
      </x:c>
      <x:c r="D24" s="8" t="n">
        <x:f>ABS(B24-B23)</x:f>
        <x:v>0.0600000000000005</x:v>
      </x:c>
      <x:c r="E24" s="1"/>
      <x:c r="F24" s="1"/>
      <x:c r="G24" s="1"/>
      <x:c r="H24" s="1"/>
    </x:row>
    <x:row r="25" ht="23" customHeight="1">
      <x:c r="A25" s="1" t="n">
        <x:f>Leituras!A18</x:f>
        <x:v>17</x:v>
      </x:c>
      <x:c r="B25" s="8" t="n">
        <x:f>AVERAGE(Leituras!B18:D18)</x:f>
        <x:v>9.969999999999999</x:v>
      </x:c>
      <x:c r="C25" s="8" t="n">
        <x:f>MAX(Leituras!B18:D18)-MIN(Leituras!B18:D18)</x:f>
        <x:v>0.08000000000000007</x:v>
      </x:c>
      <x:c r="D25" s="8" t="n">
        <x:f>ABS(B25-B24)</x:f>
        <x:v>0.0600000000000005</x:v>
      </x:c>
      <x:c r="E25" s="1"/>
      <x:c r="F25" s="1"/>
      <x:c r="G25" s="1"/>
      <x:c r="H25" s="1"/>
    </x:row>
    <x:row r="26" ht="23" customHeight="1">
      <x:c r="A26" s="1" t="n">
        <x:f>Leituras!A19</x:f>
        <x:v>18</x:v>
      </x:c>
      <x:c r="B26" s="8" t="n">
        <x:f>AVERAGE(Leituras!B19:D19)</x:f>
        <x:v>10.03</x:v>
      </x:c>
      <x:c r="C26" s="8" t="n">
        <x:f>MAX(Leituras!B19:D19)-MIN(Leituras!B19:D19)</x:f>
        <x:v>0.08000000000000007</x:v>
      </x:c>
      <x:c r="D26" s="8" t="n">
        <x:f>ABS(B26-B25)</x:f>
        <x:v>0.0600000000000005</x:v>
      </x:c>
      <x:c r="E26" s="1"/>
      <x:c r="F26" s="1"/>
      <x:c r="G26" s="1"/>
      <x:c r="H26" s="1"/>
    </x:row>
    <x:row r="27" ht="23" customHeight="1">
      <x:c r="A27" s="1" t="n">
        <x:f>Leituras!A20</x:f>
        <x:v>19</x:v>
      </x:c>
      <x:c r="B27" s="8" t="n">
        <x:f>AVERAGE(Leituras!B20:D20)</x:f>
        <x:v>9.969999999999999</x:v>
      </x:c>
      <x:c r="C27" s="8" t="n">
        <x:f>MAX(Leituras!B20:D20)-MIN(Leituras!B20:D20)</x:f>
        <x:v>0.08000000000000007</x:v>
      </x:c>
      <x:c r="D27" s="8" t="n">
        <x:f>ABS(B27-B26)</x:f>
        <x:v>0.0600000000000005</x:v>
      </x:c>
      <x:c r="E27" s="1"/>
      <x:c r="F27" s="1"/>
      <x:c r="G27" s="1"/>
      <x:c r="H27" s="1"/>
    </x:row>
    <x:row r="28" ht="23" customHeight="1">
      <x:c r="A28" s="1" t="n">
        <x:f>Leituras!A21</x:f>
        <x:v>20</x:v>
      </x:c>
      <x:c r="B28" s="8" t="n">
        <x:f>AVERAGE(Leituras!B21:D21)</x:f>
        <x:v>10.03</x:v>
      </x:c>
      <x:c r="C28" s="8" t="n">
        <x:f>MAX(Leituras!B21:D21)-MIN(Leituras!B21:D21)</x:f>
        <x:v>0.08000000000000007</x:v>
      </x:c>
      <x:c r="D28" s="8" t="n">
        <x:f>ABS(B28-B27)</x:f>
        <x:v>0.0600000000000005</x:v>
      </x:c>
      <x:c r="E28" s="1"/>
      <x:c r="F28" s="1"/>
      <x:c r="G28" s="1"/>
      <x:c r="H28" s="1"/>
    </x:row>
    <x:row r="29" ht="23" customHeight="1">
      <x:c r="A29" s="1" t="n">
        <x:f>Leituras!A22</x:f>
        <x:v>21</x:v>
      </x:c>
      <x:c r="B29" s="8" t="n">
        <x:f>AVERAGE(Leituras!B22:D22)</x:f>
        <x:v>9.969999999999999</x:v>
      </x:c>
      <x:c r="C29" s="8" t="n">
        <x:f>MAX(Leituras!B22:D22)-MIN(Leituras!B22:D22)</x:f>
        <x:v>0.08000000000000007</x:v>
      </x:c>
      <x:c r="D29" s="8" t="n">
        <x:f>ABS(B29-B28)</x:f>
        <x:v>0.0600000000000005</x:v>
      </x:c>
      <x:c r="E29" s="1"/>
      <x:c r="F29" s="1"/>
      <x:c r="G29" s="1"/>
      <x:c r="H29" s="1"/>
    </x:row>
    <x:row r="30" ht="23" customHeight="1">
      <x:c r="A30" s="1" t="n">
        <x:f>Leituras!A23</x:f>
        <x:v>22</x:v>
      </x:c>
      <x:c r="B30" s="8" t="n">
        <x:f>AVERAGE(Leituras!B23:D23)</x:f>
        <x:v>10.03</x:v>
      </x:c>
      <x:c r="C30" s="8" t="n">
        <x:f>MAX(Leituras!B23:D23)-MIN(Leituras!B23:D23)</x:f>
        <x:v>0.08000000000000007</x:v>
      </x:c>
      <x:c r="D30" s="8" t="n">
        <x:f>ABS(B30-B29)</x:f>
        <x:v>0.0600000000000005</x:v>
      </x:c>
      <x:c r="E30" s="1"/>
      <x:c r="F30" s="1"/>
      <x:c r="G30" s="1"/>
      <x:c r="H30" s="1"/>
    </x:row>
    <x:row r="31" ht="23" customHeight="1">
      <x:c r="A31" s="1" t="n">
        <x:f>Leituras!A24</x:f>
        <x:v>23</x:v>
      </x:c>
      <x:c r="B31" s="8" t="n">
        <x:f>AVERAGE(Leituras!B24:D24)</x:f>
        <x:v>9.969999999999999</x:v>
      </x:c>
      <x:c r="C31" s="8" t="n">
        <x:f>MAX(Leituras!B24:D24)-MIN(Leituras!B24:D24)</x:f>
        <x:v>0.08000000000000007</x:v>
      </x:c>
      <x:c r="D31" s="8" t="n">
        <x:f>ABS(B31-B30)</x:f>
        <x:v>0.0600000000000005</x:v>
      </x:c>
      <x:c r="E31" s="1"/>
      <x:c r="F31" s="1"/>
      <x:c r="G31" s="1"/>
      <x:c r="H31" s="1"/>
    </x:row>
    <x:row r="32" ht="23" customHeight="1">
      <x:c r="A32" s="1" t="n">
        <x:f>Leituras!A25</x:f>
        <x:v>24</x:v>
      </x:c>
      <x:c r="B32" s="8" t="n">
        <x:f>AVERAGE(Leituras!B25:D25)</x:f>
        <x:v>10.03</x:v>
      </x:c>
      <x:c r="C32" s="8" t="n">
        <x:f>MAX(Leituras!B25:D25)-MIN(Leituras!B25:D25)</x:f>
        <x:v>0.08000000000000007</x:v>
      </x:c>
      <x:c r="D32" s="8" t="n">
        <x:f>ABS(B32-B31)</x:f>
        <x:v>0.0600000000000005</x:v>
      </x:c>
      <x:c r="E32" s="1"/>
      <x:c r="F32" s="1"/>
      <x:c r="G32" s="1"/>
      <x:c r="H32" s="1"/>
    </x:row>
    <x:row r="33" ht="23" customHeight="1">
      <x:c r="A33" s="1" t="n">
        <x:f>Leituras!A26</x:f>
        <x:v>25</x:v>
      </x:c>
      <x:c r="B33" s="8" t="n">
        <x:f>AVERAGE(Leituras!B26:D26)</x:f>
        <x:v>9.969999999999999</x:v>
      </x:c>
      <x:c r="C33" s="8" t="n">
        <x:f>MAX(Leituras!B26:D26)-MIN(Leituras!B26:D26)</x:f>
        <x:v>0.08000000000000007</x:v>
      </x:c>
      <x:c r="D33" s="8" t="n">
        <x:f>ABS(B33-B32)</x:f>
        <x:v>0.0600000000000005</x:v>
      </x:c>
      <x:c r="E33" s="1"/>
      <x:c r="F33" s="1"/>
      <x:c r="G33" s="1"/>
      <x:c r="H33" s="1"/>
    </x:row>
    <x:row r="34" ht="23" customHeight="1">
      <x:c r="A34" s="1" t="n">
        <x:f>Leituras!A27</x:f>
        <x:v>26</x:v>
      </x:c>
      <x:c r="B34" s="8" t="n">
        <x:f>AVERAGE(Leituras!B27:D27)</x:f>
        <x:v>10.03</x:v>
      </x:c>
      <x:c r="C34" s="8" t="n">
        <x:f>MAX(Leituras!B27:D27)-MIN(Leituras!B27:D27)</x:f>
        <x:v>0.08000000000000007</x:v>
      </x:c>
      <x:c r="D34" s="8" t="n">
        <x:f>ABS(B34-B33)</x:f>
        <x:v>0.0600000000000005</x:v>
      </x:c>
      <x:c r="E34" s="1"/>
      <x:c r="F34" s="1"/>
      <x:c r="G34" s="1"/>
      <x:c r="H34" s="1"/>
    </x:row>
    <x:row r="35" ht="23" customHeight="1">
      <x:c r="A35" s="1" t="n">
        <x:f>Leituras!A28</x:f>
        <x:v>27</x:v>
      </x:c>
      <x:c r="B35" s="8" t="n">
        <x:f>AVERAGE(Leituras!B28:D28)</x:f>
        <x:v>9.969999999999999</x:v>
      </x:c>
      <x:c r="C35" s="8" t="n">
        <x:f>MAX(Leituras!B28:D28)-MIN(Leituras!B28:D28)</x:f>
        <x:v>0.08000000000000007</x:v>
      </x:c>
      <x:c r="D35" s="8" t="n">
        <x:f>ABS(B35-B34)</x:f>
        <x:v>0.0600000000000005</x:v>
      </x:c>
      <x:c r="E35" s="1"/>
      <x:c r="F35" s="1"/>
      <x:c r="G35" s="1"/>
      <x:c r="H35" s="1"/>
    </x:row>
    <x:row r="36" ht="23" customHeight="1">
      <x:c r="A36" s="1" t="n">
        <x:f>Leituras!A29</x:f>
        <x:v>28</x:v>
      </x:c>
      <x:c r="B36" s="8" t="n">
        <x:f>AVERAGE(Leituras!B29:D29)</x:f>
        <x:v>10.03</x:v>
      </x:c>
      <x:c r="C36" s="8" t="n">
        <x:f>MAX(Leituras!B29:D29)-MIN(Leituras!B29:D29)</x:f>
        <x:v>0.08000000000000007</x:v>
      </x:c>
      <x:c r="D36" s="8" t="n">
        <x:f>ABS(B36-B35)</x:f>
        <x:v>0.0600000000000005</x:v>
      </x:c>
      <x:c r="E36" s="1"/>
      <x:c r="F36" s="1"/>
      <x:c r="G36" s="1"/>
      <x:c r="H36" s="1"/>
    </x:row>
    <x:row r="37" ht="23" customHeight="1">
      <x:c r="A37" s="1" t="n">
        <x:f>Leituras!A30</x:f>
        <x:v>29</x:v>
      </x:c>
      <x:c r="B37" s="8" t="n">
        <x:f>AVERAGE(Leituras!B30:D30)</x:f>
        <x:v>9.969999999999999</x:v>
      </x:c>
      <x:c r="C37" s="8" t="n">
        <x:f>MAX(Leituras!B30:D30)-MIN(Leituras!B30:D30)</x:f>
        <x:v>0.08000000000000007</x:v>
      </x:c>
      <x:c r="D37" s="8" t="n">
        <x:f>ABS(B37-B36)</x:f>
        <x:v>0.0600000000000005</x:v>
      </x:c>
      <x:c r="E37" s="1"/>
      <x:c r="F37" s="1"/>
      <x:c r="G37" s="1"/>
      <x:c r="H37" s="1"/>
    </x:row>
    <x:row r="38" ht="23" customHeight="1">
      <x:c r="A38" s="1" t="n">
        <x:f>Leituras!A31</x:f>
        <x:v>30</x:v>
      </x:c>
      <x:c r="B38" s="8" t="n">
        <x:f>AVERAGE(Leituras!B31:D31)</x:f>
        <x:v>10.03</x:v>
      </x:c>
      <x:c r="C38" s="8" t="n">
        <x:f>MAX(Leituras!B31:D31)-MIN(Leituras!B31:D31)</x:f>
        <x:v>0.08000000000000007</x:v>
      </x:c>
      <x:c r="D38" s="8" t="n">
        <x:f>ABS(B38-B37)</x:f>
        <x:v>0.0600000000000005</x:v>
      </x:c>
      <x:c r="E38" s="1"/>
      <x:c r="F38" s="1"/>
      <x:c r="G38" s="1"/>
      <x:c r="H38" s="1"/>
    </x:row>
    <x:row r="39" ht="23" customHeight="1">
      <x:c r="A39" s="1" t="n">
        <x:f>Leituras!A32</x:f>
        <x:v>31</x:v>
      </x:c>
      <x:c r="B39" s="8" t="n">
        <x:f>AVERAGE(Leituras!B32:D32)</x:f>
        <x:v>9.969999999999999</x:v>
      </x:c>
      <x:c r="C39" s="8" t="n">
        <x:f>MAX(Leituras!B32:D32)-MIN(Leituras!B32:D32)</x:f>
        <x:v>0.08000000000000007</x:v>
      </x:c>
      <x:c r="D39" s="8" t="n">
        <x:f>ABS(B39-B38)</x:f>
        <x:v>0.0600000000000005</x:v>
      </x:c>
      <x:c r="E39" s="1"/>
      <x:c r="F39" s="1"/>
      <x:c r="G39" s="1"/>
      <x:c r="H39" s="1"/>
    </x:row>
    <x:row r="40" ht="23" customHeight="1">
      <x:c r="A40" s="1" t="n">
        <x:f>Leituras!A33</x:f>
        <x:v>32</x:v>
      </x:c>
      <x:c r="B40" s="8" t="n">
        <x:f>AVERAGE(Leituras!B33:D33)</x:f>
        <x:v>10.03</x:v>
      </x:c>
      <x:c r="C40" s="8" t="n">
        <x:f>MAX(Leituras!B33:D33)-MIN(Leituras!B33:D33)</x:f>
        <x:v>0.08000000000000007</x:v>
      </x:c>
      <x:c r="D40" s="8" t="n">
        <x:f>ABS(B40-B39)</x:f>
        <x:v>0.0600000000000005</x:v>
      </x:c>
      <x:c r="E40" s="1"/>
      <x:c r="F40" s="1"/>
      <x:c r="G40" s="1"/>
      <x:c r="H40" s="1"/>
    </x:row>
    <x:row r="41" ht="23" customHeight="1">
      <x:c r="A41" s="1" t="n">
        <x:f>Leituras!A34</x:f>
        <x:v>33</x:v>
      </x:c>
      <x:c r="B41" s="8" t="n">
        <x:f>AVERAGE(Leituras!B34:D34)</x:f>
        <x:v>9.969999999999999</x:v>
      </x:c>
      <x:c r="C41" s="8" t="n">
        <x:f>MAX(Leituras!B34:D34)-MIN(Leituras!B34:D34)</x:f>
        <x:v>0.08000000000000007</x:v>
      </x:c>
      <x:c r="D41" s="8" t="n">
        <x:f>ABS(B41-B40)</x:f>
        <x:v>0.0600000000000005</x:v>
      </x:c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</x:sheetData>
  <x:pageMargins left="0.7" right="0.7" top="0.75" bottom="0.75" header="0.3" footer="0.3"/>
</x:worksheet>
</file>